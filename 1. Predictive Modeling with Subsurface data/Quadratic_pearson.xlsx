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9d0e1f239c75f/Desktop/Teaching/"/>
    </mc:Choice>
  </mc:AlternateContent>
  <xr:revisionPtr revIDLastSave="3" documentId="8_{87B022BE-A061-4E33-80D7-4DDF65D3171A}" xr6:coauthVersionLast="47" xr6:coauthVersionMax="47" xr10:uidLastSave="{98BE4CA7-680A-4A2A-AEB2-0751F4736356}"/>
  <bookViews>
    <workbookView xWindow="-98" yWindow="-98" windowWidth="21795" windowHeight="12975" xr2:uid="{E49DA920-7AC9-4114-8C47-7871413FDF52}"/>
  </bookViews>
  <sheets>
    <sheet name="Quadrat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F8" i="2" s="1"/>
  <c r="C12" i="2"/>
  <c r="B7" i="2" s="1"/>
  <c r="C13" i="2"/>
  <c r="E5" i="2" s="1"/>
  <c r="F5" i="2" s="1"/>
  <c r="B16" i="2"/>
  <c r="C7" i="2" l="1"/>
  <c r="E6" i="2"/>
  <c r="F6" i="2" s="1"/>
  <c r="B3" i="2"/>
  <c r="B6" i="2"/>
  <c r="E4" i="2"/>
  <c r="F4" i="2" s="1"/>
  <c r="E7" i="2"/>
  <c r="F7" i="2" s="1"/>
  <c r="B4" i="2"/>
  <c r="E2" i="2"/>
  <c r="F2" i="2" s="1"/>
  <c r="B2" i="2"/>
  <c r="B5" i="2"/>
  <c r="E3" i="2"/>
  <c r="F3" i="2" s="1"/>
  <c r="B8" i="2"/>
  <c r="H4" i="2" l="1"/>
  <c r="C4" i="2"/>
  <c r="C8" i="2"/>
  <c r="H8" i="2"/>
  <c r="C6" i="2"/>
  <c r="H6" i="2"/>
  <c r="H3" i="2"/>
  <c r="C3" i="2"/>
  <c r="C5" i="2"/>
  <c r="H5" i="2"/>
  <c r="H7" i="2"/>
  <c r="C2" i="2"/>
  <c r="H2" i="2"/>
  <c r="F9" i="2"/>
  <c r="H9" i="2" l="1"/>
  <c r="C9" i="2"/>
  <c r="B15" i="2" l="1"/>
</calcChain>
</file>

<file path=xl/sharedStrings.xml><?xml version="1.0" encoding="utf-8"?>
<sst xmlns="http://schemas.openxmlformats.org/spreadsheetml/2006/main" count="11" uniqueCount="11">
  <si>
    <t>With formula</t>
  </si>
  <si>
    <t>R</t>
  </si>
  <si>
    <t>y_avg</t>
  </si>
  <si>
    <t>x_avg</t>
  </si>
  <si>
    <t>(xi-x_avg)(yi-y_avg)</t>
  </si>
  <si>
    <t>(yi-y_avg)^sq</t>
  </si>
  <si>
    <t>yi-y_avg</t>
  </si>
  <si>
    <t>y_linear</t>
  </si>
  <si>
    <t>(xi - x_avg)^2</t>
  </si>
  <si>
    <t>xi-x_avg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</si>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</sst>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Quadratic!$D$1</c:f>
              <c:strCache>
                <c:ptCount val="1"/>
                <c:pt idx="0">
                  <c:v>y_linear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Quadratic!$A$2:$A$8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Quadratic!$D$2:$D$8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EE-49B0-8A1B-81BE96420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950432"/>
        <c:axId val="1569950912"/>
      </c:scatterChart>
      <c:valAx>
        <c:axId val="156995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50912"/>
        <c:crosses val="autoZero"/>
        <c:crossBetween val="midCat"/>
      </c:valAx>
      <c:valAx>
        <c:axId val="15699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17</xdr:row>
      <xdr:rowOff>78296</xdr:rowOff>
    </xdr:from>
    <xdr:ext cx="5195888" cy="1050660"/>
    <xdr:pic>
      <xdr:nvPicPr>
        <xdr:cNvPr id="2" name="Picture 1">
          <a:extLst>
            <a:ext uri="{FF2B5EF4-FFF2-40B4-BE49-F238E27FC236}">
              <a16:creationId xmlns:a16="http://schemas.microsoft.com/office/drawing/2014/main" id="{CD652027-EFA6-49A9-AE3B-1A639ACFA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3154871"/>
          <a:ext cx="5195888" cy="1050660"/>
        </a:xfrm>
        <a:prstGeom prst="rect">
          <a:avLst/>
        </a:prstGeom>
      </xdr:spPr>
    </xdr:pic>
    <xdr:clientData/>
  </xdr:oneCellAnchor>
  <xdr:twoCellAnchor>
    <xdr:from>
      <xdr:col>9</xdr:col>
      <xdr:colOff>35718</xdr:colOff>
      <xdr:row>0</xdr:row>
      <xdr:rowOff>47625</xdr:rowOff>
    </xdr:from>
    <xdr:to>
      <xdr:col>16</xdr:col>
      <xdr:colOff>73818</xdr:colOff>
      <xdr:row>13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6AC1BF-CF32-4D20-AD4C-058CC336D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92D4-8A2B-4384-B42D-AF2C8A66C1C9}">
  <dimension ref="A1:M26"/>
  <sheetViews>
    <sheetView tabSelected="1" workbookViewId="0">
      <selection activeCell="F9" sqref="F2:F9"/>
    </sheetView>
  </sheetViews>
  <sheetFormatPr defaultRowHeight="14.25" x14ac:dyDescent="0.45"/>
  <cols>
    <col min="1" max="1" width="12.6640625" customWidth="1"/>
    <col min="3" max="3" width="15.19921875" customWidth="1"/>
    <col min="6" max="6" width="17.46484375" customWidth="1"/>
    <col min="8" max="8" width="16.265625" customWidth="1"/>
  </cols>
  <sheetData>
    <row r="1" spans="1:8" x14ac:dyDescent="0.45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H1" s="2" t="s">
        <v>4</v>
      </c>
    </row>
    <row r="2" spans="1:8" x14ac:dyDescent="0.45">
      <c r="A2" s="1">
        <v>-3</v>
      </c>
      <c r="B2" s="1">
        <f>A2-$C$12</f>
        <v>-3</v>
      </c>
      <c r="C2" s="1">
        <f>B2^2</f>
        <v>9</v>
      </c>
      <c r="D2" s="1">
        <v>10</v>
      </c>
      <c r="E2">
        <f>D2-$C$13</f>
        <v>5</v>
      </c>
      <c r="F2" s="4">
        <f>E2^2</f>
        <v>25</v>
      </c>
      <c r="H2">
        <f>B2*E2</f>
        <v>-15</v>
      </c>
    </row>
    <row r="3" spans="1:8" x14ac:dyDescent="0.45">
      <c r="A3" s="1">
        <v>-2</v>
      </c>
      <c r="B3" s="1">
        <f>A3-$C$12</f>
        <v>-2</v>
      </c>
      <c r="C3" s="1">
        <f>B3^2</f>
        <v>4</v>
      </c>
      <c r="D3" s="1">
        <v>5</v>
      </c>
      <c r="E3">
        <f>D3-$C$13</f>
        <v>0</v>
      </c>
      <c r="F3" s="4">
        <f>E3^2</f>
        <v>0</v>
      </c>
      <c r="H3">
        <f>B3*E3</f>
        <v>0</v>
      </c>
    </row>
    <row r="4" spans="1:8" x14ac:dyDescent="0.45">
      <c r="A4" s="1">
        <v>-1</v>
      </c>
      <c r="B4" s="1">
        <f>A4-$C$12</f>
        <v>-1</v>
      </c>
      <c r="C4" s="1">
        <f>B4^2</f>
        <v>1</v>
      </c>
      <c r="D4" s="1">
        <v>2</v>
      </c>
      <c r="E4">
        <f>D4-$C$13</f>
        <v>-3</v>
      </c>
      <c r="F4" s="4">
        <f>E4^2</f>
        <v>9</v>
      </c>
      <c r="H4">
        <f>B4*E4</f>
        <v>3</v>
      </c>
    </row>
    <row r="5" spans="1:8" x14ac:dyDescent="0.45">
      <c r="A5" s="1">
        <v>0</v>
      </c>
      <c r="B5" s="1">
        <f>A5-$C$12</f>
        <v>0</v>
      </c>
      <c r="C5" s="1">
        <f>B5^2</f>
        <v>0</v>
      </c>
      <c r="D5" s="1">
        <v>1</v>
      </c>
      <c r="E5">
        <f>D5-$C$13</f>
        <v>-4</v>
      </c>
      <c r="F5" s="4">
        <f>E5^2</f>
        <v>16</v>
      </c>
      <c r="H5">
        <f>B5*E5</f>
        <v>0</v>
      </c>
    </row>
    <row r="6" spans="1:8" x14ac:dyDescent="0.45">
      <c r="A6" s="1">
        <v>1</v>
      </c>
      <c r="B6" s="1">
        <f>A6-$C$12</f>
        <v>1</v>
      </c>
      <c r="C6" s="1">
        <f>B6^2</f>
        <v>1</v>
      </c>
      <c r="D6" s="1">
        <v>2</v>
      </c>
      <c r="E6">
        <f>D6-$C$13</f>
        <v>-3</v>
      </c>
      <c r="F6" s="4">
        <f>E6^2</f>
        <v>9</v>
      </c>
      <c r="H6">
        <f>B6*E6</f>
        <v>-3</v>
      </c>
    </row>
    <row r="7" spans="1:8" x14ac:dyDescent="0.45">
      <c r="A7" s="1">
        <v>2</v>
      </c>
      <c r="B7" s="1">
        <f>A7-$C$12</f>
        <v>2</v>
      </c>
      <c r="C7" s="1">
        <f>B7^2</f>
        <v>4</v>
      </c>
      <c r="D7" s="1">
        <v>5</v>
      </c>
      <c r="E7">
        <f>D7-$C$13</f>
        <v>0</v>
      </c>
      <c r="F7" s="4">
        <f>E7^2</f>
        <v>0</v>
      </c>
      <c r="H7">
        <f>B7*E7</f>
        <v>0</v>
      </c>
    </row>
    <row r="8" spans="1:8" x14ac:dyDescent="0.45">
      <c r="A8" s="1">
        <v>3</v>
      </c>
      <c r="B8" s="1">
        <f>A8-$C$12</f>
        <v>3</v>
      </c>
      <c r="C8" s="1">
        <f>B8^2</f>
        <v>9</v>
      </c>
      <c r="D8" s="1">
        <v>10</v>
      </c>
      <c r="E8">
        <f>D8-$C$13</f>
        <v>5</v>
      </c>
      <c r="F8" s="4">
        <f>E8^2</f>
        <v>25</v>
      </c>
      <c r="H8">
        <f>B8*E8</f>
        <v>15</v>
      </c>
    </row>
    <row r="9" spans="1:8" x14ac:dyDescent="0.45">
      <c r="A9" s="1"/>
      <c r="B9" s="1"/>
      <c r="C9" s="3">
        <f>SUM(C2:C8)</f>
        <v>28</v>
      </c>
      <c r="F9" s="5">
        <f>SUM(F2:F8)</f>
        <v>84</v>
      </c>
      <c r="H9" s="1">
        <f>SUM(H2:H8)</f>
        <v>0</v>
      </c>
    </row>
    <row r="10" spans="1:8" x14ac:dyDescent="0.45">
      <c r="A10" s="1"/>
      <c r="B10" s="1"/>
      <c r="C10" s="1"/>
    </row>
    <row r="12" spans="1:8" x14ac:dyDescent="0.45">
      <c r="A12" t="s">
        <v>3</v>
      </c>
      <c r="C12">
        <f>AVERAGE(A2:A8)</f>
        <v>0</v>
      </c>
    </row>
    <row r="13" spans="1:8" x14ac:dyDescent="0.45">
      <c r="A13" t="s">
        <v>2</v>
      </c>
      <c r="C13">
        <f>AVERAGE(D2:D8)</f>
        <v>5</v>
      </c>
    </row>
    <row r="15" spans="1:8" x14ac:dyDescent="0.45">
      <c r="A15" t="s">
        <v>1</v>
      </c>
      <c r="B15">
        <f>H9/SQRT(C9*F9)</f>
        <v>0</v>
      </c>
    </row>
    <row r="16" spans="1:8" x14ac:dyDescent="0.45">
      <c r="A16" t="s">
        <v>0</v>
      </c>
      <c r="B16">
        <f>PEARSON(A2:A8, D2:D8)</f>
        <v>0</v>
      </c>
    </row>
    <row r="18" spans="12:13" x14ac:dyDescent="0.45">
      <c r="L18" s="2"/>
      <c r="M18" s="2"/>
    </row>
    <row r="19" spans="12:13" x14ac:dyDescent="0.45">
      <c r="L19" s="1"/>
      <c r="M19" s="1"/>
    </row>
    <row r="20" spans="12:13" x14ac:dyDescent="0.45">
      <c r="L20" s="1"/>
      <c r="M20" s="1"/>
    </row>
    <row r="21" spans="12:13" x14ac:dyDescent="0.45">
      <c r="L21" s="1"/>
      <c r="M21" s="1"/>
    </row>
    <row r="22" spans="12:13" x14ac:dyDescent="0.45">
      <c r="L22" s="1"/>
      <c r="M22" s="1"/>
    </row>
    <row r="23" spans="12:13" x14ac:dyDescent="0.45">
      <c r="L23" s="1"/>
      <c r="M23" s="1"/>
    </row>
    <row r="24" spans="12:13" x14ac:dyDescent="0.45">
      <c r="L24" s="1"/>
      <c r="M24" s="1"/>
    </row>
    <row r="25" spans="12:13" x14ac:dyDescent="0.45">
      <c r="L25" s="1"/>
      <c r="M25" s="1"/>
    </row>
    <row r="26" spans="12:13" x14ac:dyDescent="0.45">
      <c r="L26" s="1"/>
      <c r="M2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Dursun Dashdamirov</dc:creator>
  <cp:lastModifiedBy>Dursun Dashdamirov</cp:lastModifiedBy>
  <dcterms:created xsi:type="dcterms:W3CDTF">2026-02-15T03:07:45Z</dcterms:created>
  <dcterms:modified xsi:type="dcterms:W3CDTF">2026-02-15T03:09:26Z</dcterms:modified>
</cp:coreProperties>
</file>